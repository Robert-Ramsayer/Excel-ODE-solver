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75" yWindow="105" windowWidth="19095" windowHeight="7305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24" i="1"/>
  <c r="G3"/>
  <c r="F24"/>
  <c r="C25" a="1"/>
  <c r="D25" l="1"/>
  <c r="C25"/>
  <c r="H25" s="1"/>
  <c r="F25"/>
  <c r="E25"/>
  <c r="C26" a="1"/>
  <c r="E26" l="1"/>
  <c r="F26"/>
  <c r="C26"/>
  <c r="H26" s="1"/>
  <c r="D26"/>
  <c r="C27" a="1"/>
  <c r="D27" l="1"/>
  <c r="E27"/>
  <c r="F27"/>
  <c r="C27"/>
  <c r="H27" s="1"/>
  <c r="C28" a="1"/>
  <c r="C28" l="1"/>
  <c r="H28" s="1"/>
  <c r="D28"/>
  <c r="E28"/>
  <c r="F28"/>
  <c r="C29" a="1"/>
  <c r="F29" l="1"/>
  <c r="C29"/>
  <c r="H29" s="1"/>
  <c r="D29"/>
  <c r="E29"/>
  <c r="C30" a="1"/>
  <c r="E30" l="1"/>
  <c r="F30"/>
  <c r="C30"/>
  <c r="H30" s="1"/>
  <c r="D30"/>
  <c r="C31" a="1"/>
  <c r="D31" l="1"/>
  <c r="E31"/>
  <c r="F31"/>
  <c r="C31"/>
  <c r="H31" s="1"/>
  <c r="C32" a="1"/>
  <c r="C32" l="1"/>
  <c r="H32" s="1"/>
  <c r="D32"/>
  <c r="E32"/>
  <c r="F32"/>
  <c r="C33" a="1"/>
  <c r="F33" l="1"/>
  <c r="C33"/>
  <c r="H33" s="1"/>
  <c r="D33"/>
  <c r="E33"/>
  <c r="C34" a="1"/>
  <c r="F34" l="1"/>
  <c r="C34"/>
  <c r="H34" s="1"/>
  <c r="D34"/>
  <c r="E34"/>
  <c r="C35" a="1"/>
  <c r="D35" l="1"/>
  <c r="E35"/>
  <c r="F35"/>
  <c r="C35"/>
  <c r="H35" s="1"/>
  <c r="C36" a="1"/>
  <c r="D36" l="1"/>
  <c r="E36"/>
  <c r="F36"/>
  <c r="C36"/>
  <c r="H36" s="1"/>
  <c r="C37" a="1"/>
  <c r="F37" l="1"/>
  <c r="C37"/>
  <c r="H37" s="1"/>
  <c r="D37"/>
  <c r="E37"/>
  <c r="C38" a="1"/>
  <c r="E38" l="1"/>
  <c r="F38"/>
  <c r="D38"/>
  <c r="C38"/>
  <c r="H38" s="1"/>
  <c r="C39" a="1"/>
  <c r="F39" l="1"/>
  <c r="D39"/>
  <c r="E39"/>
  <c r="C39"/>
  <c r="H39" s="1"/>
  <c r="E3" l="1"/>
  <c r="C4" a="1"/>
  <c r="C4" l="1"/>
  <c r="G4" s="1"/>
  <c r="E4"/>
  <c r="D4"/>
  <c r="C5" a="1"/>
  <c r="E5" l="1"/>
  <c r="C5"/>
  <c r="G5" s="1"/>
  <c r="D5"/>
  <c r="C6" a="1"/>
  <c r="C6" l="1"/>
  <c r="G6" s="1"/>
  <c r="E6"/>
  <c r="D6"/>
  <c r="C7" a="1"/>
  <c r="E7" l="1"/>
  <c r="C7"/>
  <c r="G7" s="1"/>
  <c r="D7"/>
  <c r="C8" a="1"/>
  <c r="C8" l="1"/>
  <c r="G8" s="1"/>
  <c r="E8"/>
  <c r="D8"/>
  <c r="C9" a="1"/>
  <c r="D9" l="1"/>
  <c r="E9"/>
  <c r="C9"/>
  <c r="G9" s="1"/>
  <c r="C10" a="1"/>
  <c r="E10" l="1"/>
  <c r="C10"/>
  <c r="G10" s="1"/>
  <c r="D10"/>
  <c r="C11" a="1"/>
  <c r="E11" l="1"/>
  <c r="C11"/>
  <c r="G11" s="1"/>
  <c r="D11"/>
  <c r="C12" a="1"/>
  <c r="E12" l="1"/>
  <c r="D12"/>
  <c r="C12"/>
  <c r="G12" s="1"/>
  <c r="C13" a="1"/>
  <c r="E13" l="1"/>
  <c r="C13"/>
  <c r="G13" s="1"/>
  <c r="D13"/>
  <c r="C14" a="1"/>
  <c r="E14" l="1"/>
  <c r="C14"/>
  <c r="G14" s="1"/>
  <c r="D14"/>
</calcChain>
</file>

<file path=xl/sharedStrings.xml><?xml version="1.0" encoding="utf-8"?>
<sst xmlns="http://schemas.openxmlformats.org/spreadsheetml/2006/main" count="13" uniqueCount="8">
  <si>
    <t>h</t>
  </si>
  <si>
    <t>t</t>
  </si>
  <si>
    <t>y</t>
  </si>
  <si>
    <t>y'</t>
  </si>
  <si>
    <t>actual</t>
  </si>
  <si>
    <t>First order</t>
  </si>
  <si>
    <t>Second Order</t>
  </si>
  <si>
    <t>y"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</si>
</sst>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chart>
    <c:plotArea>
      <c:layout/>
      <c:scatterChart>
        <c:scatterStyle val="lineMarker"/>
        <c:ser>
          <c:idx val="1"/>
          <c:order val="1"/>
          <c:tx>
            <c:v>Actual</c:v>
          </c:tx>
          <c:xVal>
            <c:numRef>
              <c:f>Sheet1!$C$3:$C$15</c:f>
              <c:numCache>
                <c:formatCode>General</c:formatCode>
                <c:ptCount val="13"/>
                <c:pt idx="0">
                  <c:v>0</c:v>
                </c:pt>
                <c:pt idx="1">
                  <c:v>0.3</c:v>
                </c:pt>
                <c:pt idx="2">
                  <c:v>0.6</c:v>
                </c:pt>
                <c:pt idx="3">
                  <c:v>0.89999999999999991</c:v>
                </c:pt>
                <c:pt idx="4">
                  <c:v>1.2</c:v>
                </c:pt>
                <c:pt idx="5">
                  <c:v>1.5</c:v>
                </c:pt>
                <c:pt idx="6">
                  <c:v>1.8</c:v>
                </c:pt>
                <c:pt idx="7">
                  <c:v>2.1</c:v>
                </c:pt>
                <c:pt idx="8">
                  <c:v>2.4</c:v>
                </c:pt>
                <c:pt idx="9">
                  <c:v>2.6999999999999997</c:v>
                </c:pt>
                <c:pt idx="10">
                  <c:v>2.9999999999999996</c:v>
                </c:pt>
                <c:pt idx="11">
                  <c:v>3.2999999999999994</c:v>
                </c:pt>
              </c:numCache>
            </c:numRef>
          </c:xVal>
          <c:yVal>
            <c:numRef>
              <c:f>Sheet1!$G$3:$G$15</c:f>
              <c:numCache>
                <c:formatCode>General</c:formatCode>
                <c:ptCount val="13"/>
                <c:pt idx="0">
                  <c:v>3</c:v>
                </c:pt>
                <c:pt idx="1">
                  <c:v>0.98013841638591759</c:v>
                </c:pt>
                <c:pt idx="2">
                  <c:v>0.52944637775644632</c:v>
                </c:pt>
                <c:pt idx="3">
                  <c:v>0.42888339099943001</c:v>
                </c:pt>
                <c:pt idx="4">
                  <c:v>0.40644475565933258</c:v>
                </c:pt>
                <c:pt idx="5">
                  <c:v>0.40143801936238438</c:v>
                </c:pt>
                <c:pt idx="6">
                  <c:v>0.4003208654906254</c:v>
                </c:pt>
                <c:pt idx="7">
                  <c:v>0.40007159476830939</c:v>
                </c:pt>
                <c:pt idx="8">
                  <c:v>0.40001597495211866</c:v>
                </c:pt>
                <c:pt idx="9">
                  <c:v>0.40000356449362462</c:v>
                </c:pt>
                <c:pt idx="10">
                  <c:v>0.40000079534603333</c:v>
                </c:pt>
                <c:pt idx="11">
                  <c:v>0.40000017746568783</c:v>
                </c:pt>
              </c:numCache>
            </c:numRef>
          </c:yVal>
        </c:ser>
        <c:axId val="79553280"/>
        <c:axId val="79554816"/>
      </c:scatterChart>
      <c:scatterChart>
        <c:scatterStyle val="smoothMarker"/>
        <c:ser>
          <c:idx val="0"/>
          <c:order val="0"/>
          <c:tx>
            <c:v>Rk approx.</c:v>
          </c:tx>
          <c:marker>
            <c:symbol val="none"/>
          </c:marker>
          <c:dPt>
            <c:idx val="1"/>
            <c:spPr/>
          </c:dPt>
          <c:xVal>
            <c:numRef>
              <c:f>Sheet1!$C$3:$C$15</c:f>
              <c:numCache>
                <c:formatCode>General</c:formatCode>
                <c:ptCount val="13"/>
                <c:pt idx="0">
                  <c:v>0</c:v>
                </c:pt>
                <c:pt idx="1">
                  <c:v>0.3</c:v>
                </c:pt>
                <c:pt idx="2">
                  <c:v>0.6</c:v>
                </c:pt>
                <c:pt idx="3">
                  <c:v>0.89999999999999991</c:v>
                </c:pt>
                <c:pt idx="4">
                  <c:v>1.2</c:v>
                </c:pt>
                <c:pt idx="5">
                  <c:v>1.5</c:v>
                </c:pt>
                <c:pt idx="6">
                  <c:v>1.8</c:v>
                </c:pt>
                <c:pt idx="7">
                  <c:v>2.1</c:v>
                </c:pt>
                <c:pt idx="8">
                  <c:v>2.4</c:v>
                </c:pt>
                <c:pt idx="9">
                  <c:v>2.6999999999999997</c:v>
                </c:pt>
                <c:pt idx="10">
                  <c:v>2.9999999999999996</c:v>
                </c:pt>
                <c:pt idx="11">
                  <c:v>3.2999999999999994</c:v>
                </c:pt>
              </c:numCache>
            </c:numRef>
          </c:xVal>
          <c:yVal>
            <c:numRef>
              <c:f>Sheet1!$D$3:$D$15</c:f>
              <c:numCache>
                <c:formatCode>General</c:formatCode>
                <c:ptCount val="13"/>
                <c:pt idx="0">
                  <c:v>3</c:v>
                </c:pt>
                <c:pt idx="1">
                  <c:v>1.1109375000000001</c:v>
                </c:pt>
                <c:pt idx="2">
                  <c:v>0.59439697265625002</c:v>
                </c:pt>
                <c:pt idx="3">
                  <c:v>0.45315542221069338</c:v>
                </c:pt>
                <c:pt idx="4">
                  <c:v>0.41453468576073649</c:v>
                </c:pt>
                <c:pt idx="5">
                  <c:v>0.4039743281377014</c:v>
                </c:pt>
                <c:pt idx="6">
                  <c:v>0.40108673035015274</c:v>
                </c:pt>
                <c:pt idx="7">
                  <c:v>0.40029715283011991</c:v>
                </c:pt>
                <c:pt idx="8">
                  <c:v>0.40008125272698591</c:v>
                </c:pt>
                <c:pt idx="9">
                  <c:v>0.4000222175425352</c:v>
                </c:pt>
                <c:pt idx="10">
                  <c:v>0.40000607510928698</c:v>
                </c:pt>
                <c:pt idx="11">
                  <c:v>0.40000166116269564</c:v>
                </c:pt>
              </c:numCache>
            </c:numRef>
          </c:yVal>
          <c:smooth val="1"/>
        </c:ser>
        <c:axId val="79553280"/>
        <c:axId val="79554816"/>
      </c:scatterChart>
      <c:valAx>
        <c:axId val="79553280"/>
        <c:scaling>
          <c:orientation val="minMax"/>
        </c:scaling>
        <c:axPos val="b"/>
        <c:numFmt formatCode="General" sourceLinked="1"/>
        <c:tickLblPos val="nextTo"/>
        <c:crossAx val="79554816"/>
        <c:crosses val="autoZero"/>
        <c:crossBetween val="midCat"/>
      </c:valAx>
      <c:valAx>
        <c:axId val="79554816"/>
        <c:scaling>
          <c:orientation val="minMax"/>
        </c:scaling>
        <c:axPos val="l"/>
        <c:majorGridlines/>
        <c:numFmt formatCode="General" sourceLinked="1"/>
        <c:tickLblPos val="nextTo"/>
        <c:crossAx val="79553280"/>
        <c:crosses val="autoZero"/>
        <c:crossBetween val="midCat"/>
      </c:valAx>
    </c:plotArea>
    <c:legend>
      <c:legendPos val="r"/>
      <c:layout/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v>Rk approx</c:v>
          </c:tx>
          <c:xVal>
            <c:numRef>
              <c:f>Sheet1!$C$24:$C$39</c:f>
              <c:numCache>
                <c:formatCode>General</c:formatCode>
                <c:ptCount val="16"/>
                <c:pt idx="0">
                  <c:v>0</c:v>
                </c:pt>
                <c:pt idx="1">
                  <c:v>0.3</c:v>
                </c:pt>
                <c:pt idx="2">
                  <c:v>0.6</c:v>
                </c:pt>
                <c:pt idx="3">
                  <c:v>0.89999999999999991</c:v>
                </c:pt>
                <c:pt idx="4">
                  <c:v>1.2</c:v>
                </c:pt>
                <c:pt idx="5">
                  <c:v>1.5</c:v>
                </c:pt>
                <c:pt idx="6">
                  <c:v>1.8</c:v>
                </c:pt>
                <c:pt idx="7">
                  <c:v>2.1</c:v>
                </c:pt>
                <c:pt idx="8">
                  <c:v>2.4</c:v>
                </c:pt>
                <c:pt idx="9">
                  <c:v>2.6999999999999997</c:v>
                </c:pt>
                <c:pt idx="10">
                  <c:v>2.9999999999999996</c:v>
                </c:pt>
                <c:pt idx="11">
                  <c:v>3.2999999999999994</c:v>
                </c:pt>
                <c:pt idx="12">
                  <c:v>3.5999999999999992</c:v>
                </c:pt>
                <c:pt idx="13">
                  <c:v>3.899999999999999</c:v>
                </c:pt>
                <c:pt idx="14">
                  <c:v>4.1999999999999993</c:v>
                </c:pt>
                <c:pt idx="15">
                  <c:v>4.4999999999999991</c:v>
                </c:pt>
              </c:numCache>
            </c:numRef>
          </c:xVal>
          <c:yVal>
            <c:numRef>
              <c:f>Sheet1!$D$24:$D$39</c:f>
              <c:numCache>
                <c:formatCode>General</c:formatCode>
                <c:ptCount val="16"/>
                <c:pt idx="0">
                  <c:v>5</c:v>
                </c:pt>
                <c:pt idx="1">
                  <c:v>4.3684859375</c:v>
                </c:pt>
                <c:pt idx="2">
                  <c:v>1.1310235536230469</c:v>
                </c:pt>
                <c:pt idx="3">
                  <c:v>-1.8697761859979218</c:v>
                </c:pt>
                <c:pt idx="4">
                  <c:v>-2.7853892238997169</c:v>
                </c:pt>
                <c:pt idx="5">
                  <c:v>-1.6485877260119139</c:v>
                </c:pt>
                <c:pt idx="6">
                  <c:v>0.20527380879393609</c:v>
                </c:pt>
                <c:pt idx="7">
                  <c:v>1.3782589261510056</c:v>
                </c:pt>
                <c:pt idx="8">
                  <c:v>1.3222333901599803</c:v>
                </c:pt>
                <c:pt idx="9">
                  <c:v>0.43739195514682949</c:v>
                </c:pt>
                <c:pt idx="10">
                  <c:v>-0.46478017087509371</c:v>
                </c:pt>
                <c:pt idx="11">
                  <c:v>-0.80230274125606804</c:v>
                </c:pt>
                <c:pt idx="12">
                  <c:v>-0.52677152111382186</c:v>
                </c:pt>
                <c:pt idx="13">
                  <c:v>3.8850116064714779E-3</c:v>
                </c:pt>
                <c:pt idx="14">
                  <c:v>0.37473044847276543</c:v>
                </c:pt>
                <c:pt idx="15">
                  <c:v>0.39602918253632702</c:v>
                </c:pt>
              </c:numCache>
            </c:numRef>
          </c:yVal>
          <c:smooth val="1"/>
        </c:ser>
        <c:ser>
          <c:idx val="1"/>
          <c:order val="1"/>
          <c:tx>
            <c:v>actual</c:v>
          </c:tx>
          <c:xVal>
            <c:numRef>
              <c:f>Sheet1!$C$24:$C$39</c:f>
              <c:numCache>
                <c:formatCode>General</c:formatCode>
                <c:ptCount val="16"/>
                <c:pt idx="0">
                  <c:v>0</c:v>
                </c:pt>
                <c:pt idx="1">
                  <c:v>0.3</c:v>
                </c:pt>
                <c:pt idx="2">
                  <c:v>0.6</c:v>
                </c:pt>
                <c:pt idx="3">
                  <c:v>0.89999999999999991</c:v>
                </c:pt>
                <c:pt idx="4">
                  <c:v>1.2</c:v>
                </c:pt>
                <c:pt idx="5">
                  <c:v>1.5</c:v>
                </c:pt>
                <c:pt idx="6">
                  <c:v>1.8</c:v>
                </c:pt>
                <c:pt idx="7">
                  <c:v>2.1</c:v>
                </c:pt>
                <c:pt idx="8">
                  <c:v>2.4</c:v>
                </c:pt>
                <c:pt idx="9">
                  <c:v>2.6999999999999997</c:v>
                </c:pt>
                <c:pt idx="10">
                  <c:v>2.9999999999999996</c:v>
                </c:pt>
                <c:pt idx="11">
                  <c:v>3.2999999999999994</c:v>
                </c:pt>
                <c:pt idx="12">
                  <c:v>3.5999999999999992</c:v>
                </c:pt>
                <c:pt idx="13">
                  <c:v>3.899999999999999</c:v>
                </c:pt>
                <c:pt idx="14">
                  <c:v>4.1999999999999993</c:v>
                </c:pt>
                <c:pt idx="15">
                  <c:v>4.4999999999999991</c:v>
                </c:pt>
              </c:numCache>
            </c:numRef>
          </c:xVal>
          <c:yVal>
            <c:numRef>
              <c:f>Sheet1!$H$24:$H$39</c:f>
              <c:numCache>
                <c:formatCode>General</c:formatCode>
                <c:ptCount val="16"/>
                <c:pt idx="0">
                  <c:v>5</c:v>
                </c:pt>
                <c:pt idx="1">
                  <c:v>4.360662587741353</c:v>
                </c:pt>
                <c:pt idx="2">
                  <c:v>0.96203291517726863</c:v>
                </c:pt>
                <c:pt idx="3">
                  <c:v>-2.2010356365507997</c:v>
                </c:pt>
                <c:pt idx="4">
                  <c:v>-3.0679081894714115</c:v>
                </c:pt>
                <c:pt idx="5">
                  <c:v>-1.6522457552519696</c:v>
                </c:pt>
                <c:pt idx="6">
                  <c:v>0.50477784614575605</c:v>
                </c:pt>
                <c:pt idx="7">
                  <c:v>1.7641509494499887</c:v>
                </c:pt>
                <c:pt idx="8">
                  <c:v>1.5137798906616904</c:v>
                </c:pt>
                <c:pt idx="9">
                  <c:v>0.31290396893693867</c:v>
                </c:pt>
                <c:pt idx="10">
                  <c:v>-0.78661304722173875</c:v>
                </c:pt>
                <c:pt idx="11">
                  <c:v>-1.073519714516082</c:v>
                </c:pt>
                <c:pt idx="12">
                  <c:v>-0.56598175804202533</c:v>
                </c:pt>
                <c:pt idx="13">
                  <c:v>0.18965457180841513</c:v>
                </c:pt>
                <c:pt idx="14">
                  <c:v>0.62222934373896654</c:v>
                </c:pt>
                <c:pt idx="15">
                  <c:v>0.52531652112707339</c:v>
                </c:pt>
              </c:numCache>
            </c:numRef>
          </c:yVal>
          <c:smooth val="1"/>
        </c:ser>
        <c:axId val="79841536"/>
        <c:axId val="79843328"/>
      </c:scatterChart>
      <c:valAx>
        <c:axId val="79841536"/>
        <c:scaling>
          <c:orientation val="minMax"/>
        </c:scaling>
        <c:axPos val="b"/>
        <c:numFmt formatCode="General" sourceLinked="1"/>
        <c:tickLblPos val="nextTo"/>
        <c:crossAx val="79843328"/>
        <c:crosses val="autoZero"/>
        <c:crossBetween val="midCat"/>
      </c:valAx>
      <c:valAx>
        <c:axId val="79843328"/>
        <c:scaling>
          <c:orientation val="minMax"/>
        </c:scaling>
        <c:axPos val="l"/>
        <c:majorGridlines/>
        <c:numFmt formatCode="General" sourceLinked="1"/>
        <c:tickLblPos val="nextTo"/>
        <c:crossAx val="798415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44450</xdr:colOff>
      <xdr:row>1</xdr:row>
      <xdr:rowOff>44450</xdr:rowOff>
    </xdr:from>
    <xdr:to>
      <xdr:col>15</xdr:col>
      <xdr:colOff>349250</xdr:colOff>
      <xdr:row>16</xdr:row>
      <xdr:rowOff>25400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88900</xdr:colOff>
      <xdr:row>20</xdr:row>
      <xdr:rowOff>171450</xdr:rowOff>
    </xdr:from>
    <xdr:to>
      <xdr:col>16</xdr:col>
      <xdr:colOff>393700</xdr:colOff>
      <xdr:row>35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H39"/>
  <sheetViews>
    <sheetView tabSelected="1" workbookViewId="0">
      <selection activeCell="C27" sqref="C27"/>
    </sheetView>
  </sheetViews>
  <sheetFormatPr defaultRowHeight="15"/>
  <sheetData>
    <row r="1" spans="2:7">
      <c r="B1" t="s">
        <v>5</v>
      </c>
    </row>
    <row r="2" spans="2:7">
      <c r="B2" t="s">
        <v>0</v>
      </c>
      <c r="C2" t="s">
        <v>1</v>
      </c>
      <c r="D2" t="s">
        <v>2</v>
      </c>
      <c r="E2" t="s">
        <v>3</v>
      </c>
      <c r="G2" t="s">
        <v>4</v>
      </c>
    </row>
    <row r="3" spans="2:7">
      <c r="B3">
        <v>0.3</v>
      </c>
      <c r="C3">
        <v>0</v>
      </c>
      <c r="D3">
        <v>3</v>
      </c>
      <c r="E3">
        <f>f(1,D3)</f>
        <v>-13</v>
      </c>
      <c r="G3">
        <f>13/5*EXP(-5*C3)+2/5</f>
        <v>3</v>
      </c>
    </row>
    <row r="4" spans="2:7">
      <c r="C4">
        <f t="array" ref="C4:E4">rkf($B$3,C3:E3)</f>
        <v>0.3</v>
      </c>
      <c r="D4">
        <v>1.1109375000000001</v>
      </c>
      <c r="E4">
        <v>-3.5546875000000009</v>
      </c>
      <c r="G4">
        <f t="shared" ref="G4:G14" si="0">13/5*EXP(-5*C4)+2/5</f>
        <v>0.98013841638591759</v>
      </c>
    </row>
    <row r="5" spans="2:7">
      <c r="C5">
        <f t="array" ref="C5:E5">rkf($B$3,C4:E4)</f>
        <v>0.6</v>
      </c>
      <c r="D5">
        <v>0.59439697265625002</v>
      </c>
      <c r="E5">
        <v>-0.97198486328125011</v>
      </c>
      <c r="G5">
        <f t="shared" si="0"/>
        <v>0.52944637775644632</v>
      </c>
    </row>
    <row r="6" spans="2:7">
      <c r="C6">
        <f t="array" ref="C6:E6">rkf($B$3,C5:E5)</f>
        <v>0.89999999999999991</v>
      </c>
      <c r="D6">
        <v>0.45315542221069338</v>
      </c>
      <c r="E6">
        <v>-0.26577711105346691</v>
      </c>
      <c r="G6">
        <f t="shared" si="0"/>
        <v>0.42888339099943001</v>
      </c>
    </row>
    <row r="7" spans="2:7">
      <c r="C7">
        <f t="array" ref="C7:E7">rkf($B$3,C6:E6)</f>
        <v>1.2</v>
      </c>
      <c r="D7">
        <v>0.41453468576073649</v>
      </c>
      <c r="E7">
        <v>-7.2673428803682438E-2</v>
      </c>
      <c r="G7">
        <f t="shared" si="0"/>
        <v>0.40644475565933258</v>
      </c>
    </row>
    <row r="8" spans="2:7">
      <c r="C8">
        <f t="array" ref="C8:E8">rkf($B$3,C7:E7)</f>
        <v>1.5</v>
      </c>
      <c r="D8">
        <v>0.4039743281377014</v>
      </c>
      <c r="E8">
        <v>-1.9871640688506997E-2</v>
      </c>
      <c r="G8">
        <f t="shared" si="0"/>
        <v>0.40143801936238438</v>
      </c>
    </row>
    <row r="9" spans="2:7">
      <c r="C9">
        <f t="array" ref="C9:E9">rkf($B$3,C8:E8)</f>
        <v>1.8</v>
      </c>
      <c r="D9">
        <v>0.40108673035015274</v>
      </c>
      <c r="E9">
        <v>-5.4336517507637128E-3</v>
      </c>
      <c r="G9">
        <f t="shared" si="0"/>
        <v>0.4003208654906254</v>
      </c>
    </row>
    <row r="10" spans="2:7">
      <c r="C10">
        <f t="array" ref="C10:E10">rkf($B$3,C9:E9)</f>
        <v>2.1</v>
      </c>
      <c r="D10">
        <v>0.40029715283011991</v>
      </c>
      <c r="E10">
        <v>-1.4857641505995334E-3</v>
      </c>
      <c r="G10">
        <f t="shared" si="0"/>
        <v>0.40007159476830939</v>
      </c>
    </row>
    <row r="11" spans="2:7">
      <c r="C11">
        <f t="array" ref="C11:E11">rkf($B$3,C10:E10)</f>
        <v>2.4</v>
      </c>
      <c r="D11">
        <v>0.40008125272698591</v>
      </c>
      <c r="E11">
        <v>-4.0626363492957118E-4</v>
      </c>
      <c r="G11">
        <f t="shared" si="0"/>
        <v>0.40001597495211866</v>
      </c>
    </row>
    <row r="12" spans="2:7">
      <c r="C12">
        <f t="array" ref="C12:E12">rkf($B$3,C11:E11)</f>
        <v>2.6999999999999997</v>
      </c>
      <c r="D12">
        <v>0.4000222175425352</v>
      </c>
      <c r="E12">
        <v>-1.110877126759835E-4</v>
      </c>
      <c r="G12">
        <f t="shared" si="0"/>
        <v>0.40000356449362462</v>
      </c>
    </row>
    <row r="13" spans="2:7">
      <c r="C13">
        <f t="array" ref="C13:E13">rkf($B$3,C12:E12)</f>
        <v>2.9999999999999996</v>
      </c>
      <c r="D13">
        <v>0.40000607510928698</v>
      </c>
      <c r="E13">
        <v>-3.0375546434924239E-5</v>
      </c>
      <c r="G13">
        <f t="shared" si="0"/>
        <v>0.40000079534603333</v>
      </c>
    </row>
    <row r="14" spans="2:7">
      <c r="C14">
        <f t="array" ref="C14:E14">rkf($B$3,C13:E13)</f>
        <v>3.2999999999999994</v>
      </c>
      <c r="D14">
        <v>0.40000166116269564</v>
      </c>
      <c r="E14">
        <v>-8.3058134782154625E-6</v>
      </c>
      <c r="G14">
        <f t="shared" si="0"/>
        <v>0.40000017746568783</v>
      </c>
    </row>
    <row r="21" spans="2:8">
      <c r="B21" t="s">
        <v>6</v>
      </c>
    </row>
    <row r="23" spans="2:8">
      <c r="B23" t="s">
        <v>0</v>
      </c>
      <c r="C23" t="s">
        <v>1</v>
      </c>
      <c r="D23" t="s">
        <v>2</v>
      </c>
      <c r="E23" t="s">
        <v>3</v>
      </c>
      <c r="F23" t="s">
        <v>7</v>
      </c>
      <c r="H23" t="s">
        <v>4</v>
      </c>
    </row>
    <row r="24" spans="2:8">
      <c r="B24">
        <v>0.3</v>
      </c>
      <c r="C24">
        <v>0</v>
      </c>
      <c r="D24">
        <v>5</v>
      </c>
      <c r="E24">
        <v>6</v>
      </c>
      <c r="F24">
        <f>g(C24,D24,E24)</f>
        <v>-52.25</v>
      </c>
      <c r="H24">
        <f>EXP(-C24/2)*(5*COS(3*C24)+5/2*SIN(3*C24))</f>
        <v>5</v>
      </c>
    </row>
    <row r="25" spans="2:8">
      <c r="C25">
        <f t="array" ref="C25:F25">rks($B$24,C24:F24)</f>
        <v>0.3</v>
      </c>
      <c r="D25">
        <v>4.3684859375</v>
      </c>
      <c r="E25">
        <v>-7.1561449218750006</v>
      </c>
      <c r="F25">
        <v>-33.25235</v>
      </c>
      <c r="H25">
        <f t="shared" ref="H25:H39" si="1">EXP(-C25/2)*(5*COS(3*C25)+5/2*SIN(3*C25))</f>
        <v>4.360662587741353</v>
      </c>
    </row>
    <row r="26" spans="2:8">
      <c r="C26">
        <f t="array" ref="C26:F26">rks($B$24,C25:F25)</f>
        <v>0.6</v>
      </c>
      <c r="D26">
        <v>1.1310235536230469</v>
      </c>
      <c r="E26">
        <v>-11.836220058083498</v>
      </c>
      <c r="F26">
        <v>1.3742521870703146</v>
      </c>
      <c r="H26">
        <f t="shared" si="1"/>
        <v>0.96203291517726863</v>
      </c>
    </row>
    <row r="27" spans="2:8">
      <c r="C27">
        <f t="array" ref="C27:F27">rks($B$24,C26:F26)</f>
        <v>0.89999999999999991</v>
      </c>
      <c r="D27">
        <v>-1.8697761859979218</v>
      </c>
      <c r="E27">
        <v>-7.5607735949340515</v>
      </c>
      <c r="F27">
        <v>24.856203315414827</v>
      </c>
      <c r="H27">
        <f t="shared" si="1"/>
        <v>-2.2010356365507997</v>
      </c>
    </row>
    <row r="28" spans="2:8">
      <c r="C28">
        <f t="array" ref="C28:F28">rks($B$24,C27:F27)</f>
        <v>1.2</v>
      </c>
      <c r="D28">
        <v>-2.7853892238997169</v>
      </c>
      <c r="E28">
        <v>0.28140669572012733</v>
      </c>
      <c r="F28">
        <v>25.483443625352255</v>
      </c>
      <c r="H28">
        <f t="shared" si="1"/>
        <v>-3.0679081894714115</v>
      </c>
    </row>
    <row r="29" spans="2:8">
      <c r="C29">
        <f t="array" ref="C29:F29">rks($B$24,C28:F28)</f>
        <v>1.5</v>
      </c>
      <c r="D29">
        <v>-1.6485877260119139</v>
      </c>
      <c r="E29">
        <v>5.6186375989553721</v>
      </c>
      <c r="F29">
        <v>9.6307988666548319</v>
      </c>
      <c r="H29">
        <f t="shared" si="1"/>
        <v>-1.6522457552519696</v>
      </c>
    </row>
    <row r="30" spans="2:8">
      <c r="C30">
        <f t="array" ref="C30:F30">rks($B$24,C29:F29)</f>
        <v>1.8</v>
      </c>
      <c r="D30">
        <v>0.20527380879393609</v>
      </c>
      <c r="E30">
        <v>5.7809915521290218</v>
      </c>
      <c r="F30">
        <v>-7.6797742834729306</v>
      </c>
      <c r="H30">
        <f t="shared" si="1"/>
        <v>0.50477784614575605</v>
      </c>
    </row>
    <row r="31" spans="2:8">
      <c r="C31">
        <f t="array" ref="C31:F31">rks($B$24,C30:F30)</f>
        <v>2.1</v>
      </c>
      <c r="D31">
        <v>1.3782589261510056</v>
      </c>
      <c r="E31">
        <v>2.1988886633594014</v>
      </c>
      <c r="F31">
        <v>-14.947783730256203</v>
      </c>
      <c r="H31">
        <f t="shared" si="1"/>
        <v>1.7641509494499887</v>
      </c>
    </row>
    <row r="32" spans="2:8">
      <c r="C32">
        <f t="array" ref="C32:F32">rks($B$24,C31:F31)</f>
        <v>2.4</v>
      </c>
      <c r="D32">
        <v>1.3222333901599803</v>
      </c>
      <c r="E32">
        <v>-1.7271588264306525</v>
      </c>
      <c r="F32">
        <v>-10.503500032549166</v>
      </c>
      <c r="H32">
        <f t="shared" si="1"/>
        <v>1.5137798906616904</v>
      </c>
    </row>
    <row r="33" spans="3:8">
      <c r="C33">
        <f t="array" ref="C33:F33">rks($B$24,C32:F32)</f>
        <v>2.6999999999999997</v>
      </c>
      <c r="D33">
        <v>0.43739195514682949</v>
      </c>
      <c r="E33">
        <v>-3.3848941221443209</v>
      </c>
      <c r="F33">
        <v>-0.66098146296385185</v>
      </c>
      <c r="H33">
        <f t="shared" si="1"/>
        <v>0.31290396893693867</v>
      </c>
    </row>
    <row r="34" spans="3:8">
      <c r="C34">
        <f t="array" ref="C34:F34">rks($B$24,C33:F33)</f>
        <v>2.9999999999999996</v>
      </c>
      <c r="D34">
        <v>-0.46478017087509371</v>
      </c>
      <c r="E34">
        <v>-2.3868743251654267</v>
      </c>
      <c r="F34">
        <v>6.6860909057600439</v>
      </c>
      <c r="H34">
        <f t="shared" si="1"/>
        <v>-0.78661304722173875</v>
      </c>
    </row>
    <row r="35" spans="3:8">
      <c r="C35">
        <f t="array" ref="C35:F35">rks($B$24,C34:F34)</f>
        <v>3.2999999999999994</v>
      </c>
      <c r="D35">
        <v>-0.80230274125606804</v>
      </c>
      <c r="E35">
        <v>-0.15859408695604804</v>
      </c>
      <c r="F35">
        <v>7.5798944435746778</v>
      </c>
      <c r="H35">
        <f t="shared" si="1"/>
        <v>-1.073519714516082</v>
      </c>
    </row>
    <row r="36" spans="3:8">
      <c r="C36">
        <f t="array" ref="C36:F36">rks($B$24,C35:F35)</f>
        <v>3.5999999999999992</v>
      </c>
      <c r="D36">
        <v>-0.52677152111382186</v>
      </c>
      <c r="E36">
        <v>1.5104578986425914</v>
      </c>
      <c r="F36">
        <v>3.3621786716602609</v>
      </c>
      <c r="H36">
        <f t="shared" si="1"/>
        <v>-0.56598175804202533</v>
      </c>
    </row>
    <row r="37" spans="3:8">
      <c r="C37">
        <f t="array" ref="C37:F37">rks($B$24,C36:F36)</f>
        <v>3.899999999999999</v>
      </c>
      <c r="D37">
        <v>3.8850116064714779E-3</v>
      </c>
      <c r="E37">
        <v>1.7189001616356001</v>
      </c>
      <c r="F37">
        <v>-1.7548365189954613</v>
      </c>
      <c r="H37">
        <f t="shared" si="1"/>
        <v>0.18965457180841513</v>
      </c>
    </row>
    <row r="38" spans="3:8">
      <c r="C38">
        <f t="array" ref="C38:F38">rks($B$24,C37:F37)</f>
        <v>4.1999999999999993</v>
      </c>
      <c r="D38">
        <v>0.37473044847276543</v>
      </c>
      <c r="E38">
        <v>0.76649234305520653</v>
      </c>
      <c r="F38">
        <v>-4.232748991428287</v>
      </c>
      <c r="H38">
        <f t="shared" si="1"/>
        <v>0.62222934373896654</v>
      </c>
    </row>
    <row r="39" spans="3:8">
      <c r="C39">
        <f t="array" ref="C39:F39">rks($B$24,C38:F38)</f>
        <v>4.4999999999999991</v>
      </c>
      <c r="D39">
        <v>0.39602918253632702</v>
      </c>
      <c r="E39">
        <v>-0.39363866603098663</v>
      </c>
      <c r="F39">
        <v>-3.2696312724300385</v>
      </c>
      <c r="H39">
        <f t="shared" si="1"/>
        <v>0.52531652112707339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Ramsayer</dc:creator>
  <cp:lastModifiedBy>Robert</cp:lastModifiedBy>
  <dcterms:created xsi:type="dcterms:W3CDTF">2020-12-23T05:42:39Z</dcterms:created>
  <dcterms:modified xsi:type="dcterms:W3CDTF">2020-12-25T08:09:27Z</dcterms:modified>
</cp:coreProperties>
</file>