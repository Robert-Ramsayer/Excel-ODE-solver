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80" yWindow="110" windowWidth="19100" windowHeight="7310"/>
  </bookViews>
  <sheets>
    <sheet name="Sheet1" sheetId="1" r:id="rId1"/>
    <sheet name="Sheet2" sheetId="2" r:id="rId2"/>
    <sheet name="Sheet3" sheetId="3" r:id="rId3"/>
  </sheets>
  <functionGroups/>
  <calcPr calcId="124519"/>
</workbook>
</file>

<file path=xl/calcChain.xml><?xml version="1.0" encoding="utf-8"?>
<calcChain xmlns="http://schemas.openxmlformats.org/spreadsheetml/2006/main">
  <c r="I3" i="1"/>
  <c r="J3" s="1"/>
  <c r="D4" a="1"/>
  <c r="E4" l="1"/>
  <c r="D4"/>
  <c r="I4" s="1"/>
  <c r="G4"/>
  <c r="F4"/>
  <c r="D5" a="1"/>
  <c r="G5" l="1"/>
  <c r="E5"/>
  <c r="F5"/>
  <c r="D5"/>
  <c r="I5" s="1"/>
  <c r="J4"/>
  <c r="D6" a="1"/>
  <c r="E6" l="1"/>
  <c r="F6"/>
  <c r="G6"/>
  <c r="D6"/>
  <c r="I6" s="1"/>
  <c r="J5"/>
  <c r="D7" a="1"/>
  <c r="D7" l="1"/>
  <c r="E7"/>
  <c r="F7"/>
  <c r="G7"/>
  <c r="I7"/>
  <c r="J6"/>
  <c r="D8" a="1"/>
  <c r="G8" l="1"/>
  <c r="D8"/>
  <c r="E8"/>
  <c r="F8"/>
  <c r="J7"/>
  <c r="I8"/>
  <c r="D9" a="1"/>
  <c r="F9" l="1"/>
  <c r="G9"/>
  <c r="D9"/>
  <c r="I9" s="1"/>
  <c r="E9"/>
  <c r="J8"/>
  <c r="D10" a="1"/>
  <c r="E10" l="1"/>
  <c r="F10"/>
  <c r="G10"/>
  <c r="D10"/>
  <c r="I10" s="1"/>
  <c r="J9"/>
  <c r="D11" a="1"/>
  <c r="D11" l="1"/>
  <c r="E11"/>
  <c r="F11"/>
  <c r="G11"/>
  <c r="I11"/>
  <c r="J10"/>
  <c r="D12" a="1"/>
  <c r="D12" l="1"/>
  <c r="E12"/>
  <c r="G12"/>
  <c r="F12"/>
  <c r="I12"/>
  <c r="J11"/>
  <c r="D13" a="1"/>
  <c r="G13" l="1"/>
  <c r="D13"/>
  <c r="F13"/>
  <c r="E13"/>
  <c r="J12"/>
  <c r="I13"/>
  <c r="D14" a="1"/>
  <c r="F14" l="1"/>
  <c r="G14"/>
  <c r="D14"/>
  <c r="E14"/>
  <c r="J13"/>
  <c r="I14"/>
  <c r="D15" a="1"/>
  <c r="E15" l="1"/>
  <c r="F15"/>
  <c r="G15"/>
  <c r="D15"/>
  <c r="I15" s="1"/>
  <c r="J14"/>
  <c r="D16" a="1"/>
  <c r="D16" l="1"/>
  <c r="E16"/>
  <c r="F16"/>
  <c r="G16"/>
  <c r="I16"/>
  <c r="J15"/>
  <c r="D17" a="1"/>
  <c r="G17" l="1"/>
  <c r="D17"/>
  <c r="F17"/>
  <c r="E17"/>
  <c r="J16"/>
  <c r="I17"/>
  <c r="D18" a="1"/>
  <c r="F18" l="1"/>
  <c r="G18"/>
  <c r="D18"/>
  <c r="E18"/>
  <c r="J17"/>
  <c r="I18"/>
  <c r="D19" a="1"/>
  <c r="E19" l="1"/>
  <c r="F19"/>
  <c r="G19"/>
  <c r="D19"/>
  <c r="I19" s="1"/>
  <c r="J18"/>
  <c r="D20" a="1"/>
  <c r="E20" l="1"/>
  <c r="F20"/>
  <c r="G20"/>
  <c r="D20"/>
  <c r="I20" s="1"/>
  <c r="J19"/>
  <c r="D21" a="1"/>
  <c r="G21" l="1"/>
  <c r="D21"/>
  <c r="E21"/>
  <c r="F21"/>
  <c r="J20"/>
  <c r="I21"/>
  <c r="D22" a="1"/>
  <c r="F22" l="1"/>
  <c r="G22"/>
  <c r="D22"/>
  <c r="I22" s="1"/>
  <c r="E22"/>
  <c r="J21"/>
  <c r="D23" a="1"/>
  <c r="E23" l="1"/>
  <c r="F23"/>
  <c r="G23"/>
  <c r="D23"/>
  <c r="I23" s="1"/>
  <c r="J22"/>
  <c r="D24" a="1"/>
  <c r="E24" l="1"/>
  <c r="F24"/>
  <c r="G24"/>
  <c r="D24"/>
  <c r="I24" s="1"/>
  <c r="J23"/>
  <c r="D25" a="1"/>
  <c r="D25" l="1"/>
  <c r="E25"/>
  <c r="G25"/>
  <c r="F25"/>
  <c r="I25"/>
  <c r="J24"/>
  <c r="D26" a="1"/>
  <c r="G26" l="1"/>
  <c r="D26"/>
  <c r="I26" s="1"/>
  <c r="F26"/>
  <c r="E26"/>
  <c r="J25"/>
  <c r="D27" a="1"/>
  <c r="F27" l="1"/>
  <c r="G27"/>
  <c r="E27"/>
  <c r="D27"/>
  <c r="I27" s="1"/>
  <c r="J26"/>
  <c r="D28" a="1"/>
  <c r="G28" l="1"/>
  <c r="E28"/>
  <c r="F28"/>
  <c r="D28"/>
  <c r="I28" s="1"/>
  <c r="J27"/>
  <c r="D29" a="1"/>
  <c r="D29" l="1"/>
  <c r="E29"/>
  <c r="G29"/>
  <c r="F29"/>
  <c r="I29"/>
  <c r="J28"/>
  <c r="D30" a="1"/>
  <c r="E30" l="1"/>
  <c r="G30"/>
  <c r="F30"/>
  <c r="D30"/>
  <c r="I30" s="1"/>
  <c r="J29"/>
  <c r="D31" a="1"/>
  <c r="D31" l="1"/>
  <c r="F31"/>
  <c r="E31"/>
  <c r="G31"/>
  <c r="I31"/>
  <c r="J30"/>
  <c r="D32" a="1"/>
  <c r="G32" l="1"/>
  <c r="E32"/>
  <c r="D32"/>
  <c r="I32" s="1"/>
  <c r="F32"/>
  <c r="J31"/>
  <c r="D33" a="1"/>
  <c r="F33" l="1"/>
  <c r="D33"/>
  <c r="G33"/>
  <c r="E33"/>
  <c r="J32"/>
  <c r="I33"/>
  <c r="D34" a="1"/>
  <c r="F34" l="1"/>
  <c r="G34"/>
  <c r="D34"/>
  <c r="E34"/>
  <c r="J33"/>
  <c r="I34"/>
  <c r="D35" a="1"/>
  <c r="D35" l="1"/>
  <c r="F35"/>
  <c r="G35"/>
  <c r="E35"/>
  <c r="I35"/>
  <c r="J34"/>
  <c r="D36" a="1"/>
  <c r="G36" l="1"/>
  <c r="E36"/>
  <c r="D36"/>
  <c r="F36"/>
  <c r="I36"/>
  <c r="J35"/>
  <c r="D37" a="1"/>
  <c r="D37" l="1"/>
  <c r="F37"/>
  <c r="G37"/>
  <c r="E37"/>
  <c r="I37"/>
  <c r="J36"/>
  <c r="D38" a="1"/>
  <c r="E38" l="1"/>
  <c r="G38"/>
  <c r="F38"/>
  <c r="D38"/>
  <c r="I38" s="1"/>
  <c r="J37"/>
  <c r="D39" a="1"/>
  <c r="G39" l="1"/>
  <c r="D39"/>
  <c r="I39" s="1"/>
  <c r="E39"/>
  <c r="F39"/>
  <c r="J38"/>
  <c r="D40" a="1"/>
  <c r="D40" l="1"/>
  <c r="I40" s="1"/>
  <c r="E40"/>
  <c r="G40"/>
  <c r="F40"/>
  <c r="J39"/>
  <c r="D41" a="1"/>
  <c r="E41" l="1"/>
  <c r="F41"/>
  <c r="D41"/>
  <c r="I41" s="1"/>
  <c r="G41"/>
  <c r="J40"/>
  <c r="D42" a="1"/>
  <c r="F42" l="1"/>
  <c r="G42"/>
  <c r="D42"/>
  <c r="I42" s="1"/>
  <c r="E42"/>
  <c r="J41"/>
  <c r="J42" l="1"/>
</calcChain>
</file>

<file path=xl/sharedStrings.xml><?xml version="1.0" encoding="utf-8"?>
<sst xmlns="http://schemas.openxmlformats.org/spreadsheetml/2006/main" count="6" uniqueCount="6">
  <si>
    <t>h</t>
  </si>
  <si>
    <t>t</t>
  </si>
  <si>
    <t>y</t>
  </si>
  <si>
    <t>y'</t>
  </si>
  <si>
    <t>y"</t>
  </si>
  <si>
    <t>y fact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</si>
</sst>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v>RK</c:v>
          </c:tx>
          <c:xVal>
            <c:numRef>
              <c:f>Sheet1!$D$3:$D$38</c:f>
              <c:numCache>
                <c:formatCode>General</c:formatCode>
                <c:ptCount val="36"/>
                <c:pt idx="0">
                  <c:v>0</c:v>
                </c:pt>
                <c:pt idx="1">
                  <c:v>0.3</c:v>
                </c:pt>
                <c:pt idx="2">
                  <c:v>0.6</c:v>
                </c:pt>
                <c:pt idx="3">
                  <c:v>0.89999999999999991</c:v>
                </c:pt>
                <c:pt idx="4">
                  <c:v>1.2</c:v>
                </c:pt>
                <c:pt idx="5">
                  <c:v>1.5</c:v>
                </c:pt>
                <c:pt idx="6">
                  <c:v>1.8</c:v>
                </c:pt>
                <c:pt idx="7">
                  <c:v>2.1</c:v>
                </c:pt>
                <c:pt idx="8">
                  <c:v>2.4</c:v>
                </c:pt>
                <c:pt idx="9">
                  <c:v>2.6999999999999997</c:v>
                </c:pt>
                <c:pt idx="10">
                  <c:v>2.9999999999999996</c:v>
                </c:pt>
                <c:pt idx="11">
                  <c:v>3.2999999999999994</c:v>
                </c:pt>
                <c:pt idx="12">
                  <c:v>3.5999999999999992</c:v>
                </c:pt>
                <c:pt idx="13">
                  <c:v>3.899999999999999</c:v>
                </c:pt>
                <c:pt idx="14">
                  <c:v>4.1999999999999993</c:v>
                </c:pt>
                <c:pt idx="15">
                  <c:v>4.4999999999999991</c:v>
                </c:pt>
                <c:pt idx="16">
                  <c:v>4.7999999999999989</c:v>
                </c:pt>
                <c:pt idx="17">
                  <c:v>5.0999999999999988</c:v>
                </c:pt>
                <c:pt idx="18">
                  <c:v>5.3999999999999986</c:v>
                </c:pt>
                <c:pt idx="19">
                  <c:v>5.6999999999999984</c:v>
                </c:pt>
                <c:pt idx="20">
                  <c:v>5.9999999999999982</c:v>
                </c:pt>
                <c:pt idx="21">
                  <c:v>6.299999999999998</c:v>
                </c:pt>
                <c:pt idx="22">
                  <c:v>6.5999999999999979</c:v>
                </c:pt>
                <c:pt idx="23">
                  <c:v>6.8999999999999977</c:v>
                </c:pt>
                <c:pt idx="24">
                  <c:v>7.1999999999999975</c:v>
                </c:pt>
                <c:pt idx="25">
                  <c:v>7.4999999999999973</c:v>
                </c:pt>
                <c:pt idx="26">
                  <c:v>7.7999999999999972</c:v>
                </c:pt>
                <c:pt idx="27">
                  <c:v>8.0999999999999979</c:v>
                </c:pt>
                <c:pt idx="28">
                  <c:v>8.3999999999999986</c:v>
                </c:pt>
                <c:pt idx="29">
                  <c:v>8.6999999999999993</c:v>
                </c:pt>
                <c:pt idx="30">
                  <c:v>9</c:v>
                </c:pt>
                <c:pt idx="31">
                  <c:v>9.3000000000000007</c:v>
                </c:pt>
                <c:pt idx="32">
                  <c:v>9.6000000000000014</c:v>
                </c:pt>
                <c:pt idx="33">
                  <c:v>9.9000000000000021</c:v>
                </c:pt>
                <c:pt idx="34">
                  <c:v>10.200000000000003</c:v>
                </c:pt>
                <c:pt idx="35">
                  <c:v>10.500000000000004</c:v>
                </c:pt>
              </c:numCache>
            </c:numRef>
          </c:xVal>
          <c:yVal>
            <c:numRef>
              <c:f>Sheet1!$E$3:$E$38</c:f>
              <c:numCache>
                <c:formatCode>General</c:formatCode>
                <c:ptCount val="36"/>
                <c:pt idx="0">
                  <c:v>5</c:v>
                </c:pt>
                <c:pt idx="1">
                  <c:v>4.3684859375</c:v>
                </c:pt>
                <c:pt idx="2">
                  <c:v>1.1310235536230469</c:v>
                </c:pt>
                <c:pt idx="3">
                  <c:v>-1.8697761859979218</c:v>
                </c:pt>
                <c:pt idx="4">
                  <c:v>-2.7853892238997169</c:v>
                </c:pt>
                <c:pt idx="5">
                  <c:v>-1.6485877260119139</c:v>
                </c:pt>
                <c:pt idx="6">
                  <c:v>0.20527380879393609</c:v>
                </c:pt>
                <c:pt idx="7">
                  <c:v>1.3782589261510056</c:v>
                </c:pt>
                <c:pt idx="8">
                  <c:v>1.3222333901599803</c:v>
                </c:pt>
                <c:pt idx="9">
                  <c:v>0.43739195514682949</c:v>
                </c:pt>
                <c:pt idx="10">
                  <c:v>-0.46478017087509371</c:v>
                </c:pt>
                <c:pt idx="11">
                  <c:v>-0.80230274125606804</c:v>
                </c:pt>
                <c:pt idx="12">
                  <c:v>-0.52677152111382186</c:v>
                </c:pt>
                <c:pt idx="13">
                  <c:v>3.8850116064714779E-3</c:v>
                </c:pt>
                <c:pt idx="14">
                  <c:v>0.37473044847276543</c:v>
                </c:pt>
                <c:pt idx="15">
                  <c:v>0.39602918253632702</c:v>
                </c:pt>
                <c:pt idx="16">
                  <c:v>0.15779525138116407</c:v>
                </c:pt>
                <c:pt idx="17">
                  <c:v>-0.11070108524603395</c:v>
                </c:pt>
                <c:pt idx="18">
                  <c:v>-0.22881319428502639</c:v>
                </c:pt>
                <c:pt idx="19">
                  <c:v>-0.16560642566752795</c:v>
                </c:pt>
                <c:pt idx="20">
                  <c:v>-1.5251451791730597E-2</c:v>
                </c:pt>
                <c:pt idx="21">
                  <c:v>0.100278510384767</c:v>
                </c:pt>
                <c:pt idx="22">
                  <c:v>0.11743925545922254</c:v>
                </c:pt>
                <c:pt idx="23">
                  <c:v>5.4422466082021934E-2</c:v>
                </c:pt>
                <c:pt idx="24">
                  <c:v>-2.4708660831671073E-2</c:v>
                </c:pt>
                <c:pt idx="25">
                  <c:v>-6.4580756621842844E-2</c:v>
                </c:pt>
                <c:pt idx="26">
                  <c:v>-5.1339271061581024E-2</c:v>
                </c:pt>
                <c:pt idx="27">
                  <c:v>-9.1976253510699379E-3</c:v>
                </c:pt>
                <c:pt idx="28">
                  <c:v>2.6330916940364359E-2</c:v>
                </c:pt>
                <c:pt idx="29">
                  <c:v>3.4490299615117015E-2</c:v>
                </c:pt>
                <c:pt idx="30">
                  <c:v>1.8177779701209609E-2</c:v>
                </c:pt>
                <c:pt idx="31">
                  <c:v>-4.9212021618165389E-3</c:v>
                </c:pt>
                <c:pt idx="32">
                  <c:v>-1.802530510506016E-2</c:v>
                </c:pt>
                <c:pt idx="33">
                  <c:v>-1.5719107757572542E-2</c:v>
                </c:pt>
                <c:pt idx="34">
                  <c:v>-4.0459631924875585E-3</c:v>
                </c:pt>
                <c:pt idx="35">
                  <c:v>6.7533300737995707E-3</c:v>
                </c:pt>
              </c:numCache>
            </c:numRef>
          </c:yVal>
          <c:smooth val="1"/>
        </c:ser>
        <c:ser>
          <c:idx val="1"/>
          <c:order val="1"/>
          <c:tx>
            <c:v>actual</c:v>
          </c:tx>
          <c:xVal>
            <c:numRef>
              <c:f>Sheet1!$D$3:$D$38</c:f>
              <c:numCache>
                <c:formatCode>General</c:formatCode>
                <c:ptCount val="36"/>
                <c:pt idx="0">
                  <c:v>0</c:v>
                </c:pt>
                <c:pt idx="1">
                  <c:v>0.3</c:v>
                </c:pt>
                <c:pt idx="2">
                  <c:v>0.6</c:v>
                </c:pt>
                <c:pt idx="3">
                  <c:v>0.89999999999999991</c:v>
                </c:pt>
                <c:pt idx="4">
                  <c:v>1.2</c:v>
                </c:pt>
                <c:pt idx="5">
                  <c:v>1.5</c:v>
                </c:pt>
                <c:pt idx="6">
                  <c:v>1.8</c:v>
                </c:pt>
                <c:pt idx="7">
                  <c:v>2.1</c:v>
                </c:pt>
                <c:pt idx="8">
                  <c:v>2.4</c:v>
                </c:pt>
                <c:pt idx="9">
                  <c:v>2.6999999999999997</c:v>
                </c:pt>
                <c:pt idx="10">
                  <c:v>2.9999999999999996</c:v>
                </c:pt>
                <c:pt idx="11">
                  <c:v>3.2999999999999994</c:v>
                </c:pt>
                <c:pt idx="12">
                  <c:v>3.5999999999999992</c:v>
                </c:pt>
                <c:pt idx="13">
                  <c:v>3.899999999999999</c:v>
                </c:pt>
                <c:pt idx="14">
                  <c:v>4.1999999999999993</c:v>
                </c:pt>
                <c:pt idx="15">
                  <c:v>4.4999999999999991</c:v>
                </c:pt>
                <c:pt idx="16">
                  <c:v>4.7999999999999989</c:v>
                </c:pt>
                <c:pt idx="17">
                  <c:v>5.0999999999999988</c:v>
                </c:pt>
                <c:pt idx="18">
                  <c:v>5.3999999999999986</c:v>
                </c:pt>
                <c:pt idx="19">
                  <c:v>5.6999999999999984</c:v>
                </c:pt>
                <c:pt idx="20">
                  <c:v>5.9999999999999982</c:v>
                </c:pt>
                <c:pt idx="21">
                  <c:v>6.299999999999998</c:v>
                </c:pt>
                <c:pt idx="22">
                  <c:v>6.5999999999999979</c:v>
                </c:pt>
                <c:pt idx="23">
                  <c:v>6.8999999999999977</c:v>
                </c:pt>
                <c:pt idx="24">
                  <c:v>7.1999999999999975</c:v>
                </c:pt>
                <c:pt idx="25">
                  <c:v>7.4999999999999973</c:v>
                </c:pt>
                <c:pt idx="26">
                  <c:v>7.7999999999999972</c:v>
                </c:pt>
                <c:pt idx="27">
                  <c:v>8.0999999999999979</c:v>
                </c:pt>
                <c:pt idx="28">
                  <c:v>8.3999999999999986</c:v>
                </c:pt>
                <c:pt idx="29">
                  <c:v>8.6999999999999993</c:v>
                </c:pt>
                <c:pt idx="30">
                  <c:v>9</c:v>
                </c:pt>
                <c:pt idx="31">
                  <c:v>9.3000000000000007</c:v>
                </c:pt>
                <c:pt idx="32">
                  <c:v>9.6000000000000014</c:v>
                </c:pt>
                <c:pt idx="33">
                  <c:v>9.9000000000000021</c:v>
                </c:pt>
                <c:pt idx="34">
                  <c:v>10.200000000000003</c:v>
                </c:pt>
                <c:pt idx="35">
                  <c:v>10.500000000000004</c:v>
                </c:pt>
              </c:numCache>
            </c:numRef>
          </c:xVal>
          <c:yVal>
            <c:numRef>
              <c:f>Sheet1!$I$3:$I$38</c:f>
              <c:numCache>
                <c:formatCode>General</c:formatCode>
                <c:ptCount val="36"/>
                <c:pt idx="0">
                  <c:v>5</c:v>
                </c:pt>
                <c:pt idx="1">
                  <c:v>4.360662587741353</c:v>
                </c:pt>
                <c:pt idx="2">
                  <c:v>0.96203291517726863</c:v>
                </c:pt>
                <c:pt idx="3">
                  <c:v>-2.2010356365507997</c:v>
                </c:pt>
                <c:pt idx="4">
                  <c:v>-3.0679081894714115</c:v>
                </c:pt>
                <c:pt idx="5">
                  <c:v>-1.6522457552519696</c:v>
                </c:pt>
                <c:pt idx="6">
                  <c:v>0.50477784614575605</c:v>
                </c:pt>
                <c:pt idx="7">
                  <c:v>1.7641509494499887</c:v>
                </c:pt>
                <c:pt idx="8">
                  <c:v>1.5137798906616904</c:v>
                </c:pt>
                <c:pt idx="9">
                  <c:v>0.31290396893693867</c:v>
                </c:pt>
                <c:pt idx="10">
                  <c:v>-0.78661304722173875</c:v>
                </c:pt>
                <c:pt idx="11">
                  <c:v>-1.073519714516082</c:v>
                </c:pt>
                <c:pt idx="12">
                  <c:v>-0.56598175804202533</c:v>
                </c:pt>
                <c:pt idx="13">
                  <c:v>0.18965457180841513</c:v>
                </c:pt>
                <c:pt idx="14">
                  <c:v>0.62222934373896654</c:v>
                </c:pt>
                <c:pt idx="15">
                  <c:v>0.52531652112707339</c:v>
                </c:pt>
                <c:pt idx="16">
                  <c:v>0.10115574874249929</c:v>
                </c:pt>
                <c:pt idx="17">
                  <c:v>-0.28092241074170621</c:v>
                </c:pt>
                <c:pt idx="18">
                  <c:v>-0.37553885521112101</c:v>
                </c:pt>
                <c:pt idx="19">
                  <c:v>-0.1937326546116197</c:v>
                </c:pt>
                <c:pt idx="20">
                  <c:v>7.0902531992914214E-2</c:v>
                </c:pt>
                <c:pt idx="21">
                  <c:v>0.21938988632708487</c:v>
                </c:pt>
                <c:pt idx="22">
                  <c:v>0.18223211017188867</c:v>
                </c:pt>
                <c:pt idx="23">
                  <c:v>3.2469319587615314E-2</c:v>
                </c:pt>
                <c:pt idx="24">
                  <c:v>-0.10025709439836267</c:v>
                </c:pt>
                <c:pt idx="25">
                  <c:v>-0.13133389883189275</c:v>
                </c:pt>
                <c:pt idx="26">
                  <c:v>-6.6261466307672698E-2</c:v>
                </c:pt>
                <c:pt idx="27">
                  <c:v>2.6391508559300281E-2</c:v>
                </c:pt>
                <c:pt idx="28">
                  <c:v>7.7327917247459299E-2</c:v>
                </c:pt>
                <c:pt idx="29">
                  <c:v>6.3193374533332597E-2</c:v>
                </c:pt>
                <c:pt idx="30">
                  <c:v>1.0334097120207653E-2</c:v>
                </c:pt>
                <c:pt idx="31">
                  <c:v>-3.5756809727439526E-2</c:v>
                </c:pt>
                <c:pt idx="32">
                  <c:v>-4.5917237226117825E-2</c:v>
                </c:pt>
                <c:pt idx="33">
                  <c:v>-2.2644412119156118E-2</c:v>
                </c:pt>
                <c:pt idx="34">
                  <c:v>9.7856882849572165E-3</c:v>
                </c:pt>
                <c:pt idx="35">
                  <c:v>2.7246562148758213E-2</c:v>
                </c:pt>
              </c:numCache>
            </c:numRef>
          </c:yVal>
          <c:smooth val="1"/>
        </c:ser>
        <c:axId val="115430528"/>
        <c:axId val="115432064"/>
      </c:scatterChart>
      <c:valAx>
        <c:axId val="115430528"/>
        <c:scaling>
          <c:orientation val="minMax"/>
        </c:scaling>
        <c:axPos val="b"/>
        <c:numFmt formatCode="General" sourceLinked="1"/>
        <c:tickLblPos val="nextTo"/>
        <c:crossAx val="115432064"/>
        <c:crosses val="autoZero"/>
        <c:crossBetween val="midCat"/>
      </c:valAx>
      <c:valAx>
        <c:axId val="115432064"/>
        <c:scaling>
          <c:orientation val="minMax"/>
          <c:max val="6"/>
          <c:min val="-4"/>
        </c:scaling>
        <c:axPos val="l"/>
        <c:majorGridlines/>
        <c:numFmt formatCode="General" sourceLinked="1"/>
        <c:tickLblPos val="nextTo"/>
        <c:crossAx val="115430528"/>
        <c:crosses val="autoZero"/>
        <c:crossBetween val="midCat"/>
        <c:majorUnit val="1"/>
        <c:minorUnit val="0.2"/>
      </c:valAx>
    </c:plotArea>
    <c:legend>
      <c:legendPos val="r"/>
      <c:layout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563386</xdr:colOff>
      <xdr:row>2</xdr:row>
      <xdr:rowOff>65616</xdr:rowOff>
    </xdr:from>
    <xdr:to>
      <xdr:col>21</xdr:col>
      <xdr:colOff>525286</xdr:colOff>
      <xdr:row>27</xdr:row>
      <xdr:rowOff>100541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C2:J42"/>
  <sheetViews>
    <sheetView tabSelected="1" zoomScale="90" zoomScaleNormal="90" workbookViewId="0">
      <selection activeCell="C4" sqref="C4"/>
    </sheetView>
  </sheetViews>
  <sheetFormatPr defaultRowHeight="14.5"/>
  <sheetData>
    <row r="2" spans="3:10">
      <c r="C2" t="s">
        <v>0</v>
      </c>
      <c r="D2" t="s">
        <v>1</v>
      </c>
      <c r="E2" t="s">
        <v>2</v>
      </c>
      <c r="F2" t="s">
        <v>3</v>
      </c>
      <c r="G2" t="s">
        <v>4</v>
      </c>
      <c r="I2" t="s">
        <v>5</v>
      </c>
    </row>
    <row r="3" spans="3:10">
      <c r="C3">
        <v>0.3</v>
      </c>
      <c r="D3">
        <v>0</v>
      </c>
      <c r="E3">
        <v>5</v>
      </c>
      <c r="F3">
        <v>6</v>
      </c>
      <c r="G3">
        <v>2123</v>
      </c>
      <c r="I3">
        <f>EXP(-D3/2)*(5*COS(3*D3)+5/2*SIN(3*D3))</f>
        <v>5</v>
      </c>
      <c r="J3">
        <f>(E3/I3-1)*100</f>
        <v>0</v>
      </c>
    </row>
    <row r="4" spans="3:10">
      <c r="D4">
        <f t="array" ref="D4:G4">rks(C$3,D3:G3)</f>
        <v>0.3</v>
      </c>
      <c r="E4">
        <v>4.3684859375</v>
      </c>
      <c r="F4">
        <v>-7.1561449218750006</v>
      </c>
      <c r="G4">
        <v>-33.25235</v>
      </c>
      <c r="I4">
        <f t="shared" ref="I4:I38" si="0">EXP(-D4/2)*(5*COS(3*D4)+5/2*SIN(3*D4))</f>
        <v>4.360662587741353</v>
      </c>
      <c r="J4">
        <f t="shared" ref="J4:J38" si="1">(E4/I4-1)*100</f>
        <v>0.17940736301496063</v>
      </c>
    </row>
    <row r="5" spans="3:10">
      <c r="D5">
        <f t="array" ref="D5:G5">rks(C$3,D4:G4)</f>
        <v>0.6</v>
      </c>
      <c r="E5">
        <v>1.1310235536230469</v>
      </c>
      <c r="F5">
        <v>-11.836220058083498</v>
      </c>
      <c r="G5">
        <v>1.3742521870703146</v>
      </c>
      <c r="I5">
        <f t="shared" si="0"/>
        <v>0.96203291517726863</v>
      </c>
      <c r="J5">
        <f t="shared" si="1"/>
        <v>17.565993406227598</v>
      </c>
    </row>
    <row r="6" spans="3:10">
      <c r="D6">
        <f t="array" ref="D6:G6">rks(C$3,D5:G5)</f>
        <v>0.89999999999999991</v>
      </c>
      <c r="E6">
        <v>-1.8697761859979218</v>
      </c>
      <c r="F6">
        <v>-7.5607735949340515</v>
      </c>
      <c r="G6">
        <v>24.856203315414827</v>
      </c>
      <c r="I6">
        <f t="shared" si="0"/>
        <v>-2.2010356365507997</v>
      </c>
      <c r="J6">
        <f t="shared" si="1"/>
        <v>-15.050162980186366</v>
      </c>
    </row>
    <row r="7" spans="3:10">
      <c r="D7">
        <f t="array" ref="D7:G7">rks(C$3,D6:G6)</f>
        <v>1.2</v>
      </c>
      <c r="E7">
        <v>-2.7853892238997169</v>
      </c>
      <c r="F7">
        <v>0.28140669572012733</v>
      </c>
      <c r="G7">
        <v>25.483443625352255</v>
      </c>
      <c r="I7">
        <f t="shared" si="0"/>
        <v>-3.0679081894714115</v>
      </c>
      <c r="J7">
        <f t="shared" si="1"/>
        <v>-9.2088468142969901</v>
      </c>
    </row>
    <row r="8" spans="3:10">
      <c r="D8">
        <f t="array" ref="D8:G8">rks(C$3,D7:G7)</f>
        <v>1.5</v>
      </c>
      <c r="E8">
        <v>-1.6485877260119139</v>
      </c>
      <c r="F8">
        <v>5.6186375989553721</v>
      </c>
      <c r="G8">
        <v>9.6307988666548319</v>
      </c>
      <c r="I8">
        <f t="shared" si="0"/>
        <v>-1.6522457552519696</v>
      </c>
      <c r="J8">
        <f t="shared" si="1"/>
        <v>-0.22139740582948209</v>
      </c>
    </row>
    <row r="9" spans="3:10">
      <c r="D9">
        <f t="array" ref="D9:G9">rks(C$3,D8:G8)</f>
        <v>1.8</v>
      </c>
      <c r="E9">
        <v>0.20527380879393609</v>
      </c>
      <c r="F9">
        <v>5.7809915521290218</v>
      </c>
      <c r="G9">
        <v>-7.6797742834729306</v>
      </c>
      <c r="I9">
        <f t="shared" si="0"/>
        <v>0.50477784614575605</v>
      </c>
      <c r="J9">
        <f t="shared" si="1"/>
        <v>-59.333831632804525</v>
      </c>
    </row>
    <row r="10" spans="3:10">
      <c r="D10">
        <f t="array" ref="D10:G10">rks(C$3,D9:G9)</f>
        <v>2.1</v>
      </c>
      <c r="E10">
        <v>1.3782589261510056</v>
      </c>
      <c r="F10">
        <v>2.1988886633594014</v>
      </c>
      <c r="G10">
        <v>-14.947783730256203</v>
      </c>
      <c r="I10">
        <f t="shared" si="0"/>
        <v>1.7641509494499887</v>
      </c>
      <c r="J10">
        <f t="shared" si="1"/>
        <v>-21.87409322423872</v>
      </c>
    </row>
    <row r="11" spans="3:10">
      <c r="D11">
        <f t="array" ref="D11:G11">rks(C$3,D10:G10)</f>
        <v>2.4</v>
      </c>
      <c r="E11">
        <v>1.3222333901599803</v>
      </c>
      <c r="F11">
        <v>-1.7271588264306525</v>
      </c>
      <c r="G11">
        <v>-10.503500032549166</v>
      </c>
      <c r="I11">
        <f t="shared" si="0"/>
        <v>1.5137798906616904</v>
      </c>
      <c r="J11">
        <f t="shared" si="1"/>
        <v>-12.653523916081543</v>
      </c>
    </row>
    <row r="12" spans="3:10">
      <c r="D12">
        <f t="array" ref="D12:G12">rks(C$3,D11:G11)</f>
        <v>2.6999999999999997</v>
      </c>
      <c r="E12">
        <v>0.43739195514682949</v>
      </c>
      <c r="F12">
        <v>-3.3848941221443209</v>
      </c>
      <c r="G12">
        <v>-0.66098146296385185</v>
      </c>
      <c r="I12">
        <f t="shared" si="0"/>
        <v>0.31290396893693867</v>
      </c>
      <c r="J12">
        <f t="shared" si="1"/>
        <v>39.784725848261651</v>
      </c>
    </row>
    <row r="13" spans="3:10">
      <c r="D13">
        <f t="array" ref="D13:G13">rks(C$3,D12:G12)</f>
        <v>2.9999999999999996</v>
      </c>
      <c r="E13">
        <v>-0.46478017087509371</v>
      </c>
      <c r="F13">
        <v>-2.3868743251654267</v>
      </c>
      <c r="G13">
        <v>6.6860909057600439</v>
      </c>
      <c r="I13">
        <f t="shared" si="0"/>
        <v>-0.78661304722173875</v>
      </c>
      <c r="J13">
        <f t="shared" si="1"/>
        <v>-40.913747551395929</v>
      </c>
    </row>
    <row r="14" spans="3:10">
      <c r="D14">
        <f t="array" ref="D14:G14">rks(C$3,D13:G13)</f>
        <v>3.2999999999999994</v>
      </c>
      <c r="E14">
        <v>-0.80230274125606804</v>
      </c>
      <c r="F14">
        <v>-0.15859408695604804</v>
      </c>
      <c r="G14">
        <v>7.5798944435746778</v>
      </c>
      <c r="I14">
        <f t="shared" si="0"/>
        <v>-1.073519714516082</v>
      </c>
      <c r="J14">
        <f t="shared" si="1"/>
        <v>-25.264275037768847</v>
      </c>
    </row>
    <row r="15" spans="3:10">
      <c r="D15">
        <f t="array" ref="D15:G15">rks(C$3,D14:G14)</f>
        <v>3.5999999999999992</v>
      </c>
      <c r="E15">
        <v>-0.52677152111382186</v>
      </c>
      <c r="F15">
        <v>1.5104578986425914</v>
      </c>
      <c r="G15">
        <v>3.3621786716602609</v>
      </c>
      <c r="I15">
        <f t="shared" si="0"/>
        <v>-0.56598175804202533</v>
      </c>
      <c r="J15">
        <f t="shared" si="1"/>
        <v>-6.927826978708385</v>
      </c>
    </row>
    <row r="16" spans="3:10">
      <c r="D16">
        <f t="array" ref="D16:G16">rks(C$3,D15:G15)</f>
        <v>3.899999999999999</v>
      </c>
      <c r="E16">
        <v>3.8850116064714779E-3</v>
      </c>
      <c r="F16">
        <v>1.7189001616356001</v>
      </c>
      <c r="G16">
        <v>-1.7548365189954613</v>
      </c>
      <c r="I16">
        <f t="shared" si="0"/>
        <v>0.18965457180841513</v>
      </c>
      <c r="J16">
        <f t="shared" si="1"/>
        <v>-97.951532847625728</v>
      </c>
    </row>
    <row r="17" spans="4:10">
      <c r="D17">
        <f t="array" ref="D17:G17">rks(C$3,D16:G16)</f>
        <v>4.1999999999999993</v>
      </c>
      <c r="E17">
        <v>0.37473044847276543</v>
      </c>
      <c r="F17">
        <v>0.76649234305520653</v>
      </c>
      <c r="G17">
        <v>-4.232748991428287</v>
      </c>
      <c r="I17">
        <f t="shared" si="0"/>
        <v>0.62222934373896654</v>
      </c>
      <c r="J17">
        <f t="shared" si="1"/>
        <v>-39.776152917987453</v>
      </c>
    </row>
    <row r="18" spans="4:10">
      <c r="D18">
        <f t="array" ref="D18:G18">rks(C$3,D17:G17)</f>
        <v>4.4999999999999991</v>
      </c>
      <c r="E18">
        <v>0.39602918253632702</v>
      </c>
      <c r="F18">
        <v>-0.39363866603098663</v>
      </c>
      <c r="G18">
        <v>-3.2696312724300385</v>
      </c>
      <c r="I18">
        <f t="shared" si="0"/>
        <v>0.52531652112707339</v>
      </c>
      <c r="J18">
        <f t="shared" si="1"/>
        <v>-24.611321630120962</v>
      </c>
    </row>
    <row r="19" spans="4:10">
      <c r="D19">
        <f t="array" ref="D19:G19">rks(C$3,D18:G18)</f>
        <v>4.7999999999999989</v>
      </c>
      <c r="E19">
        <v>0.15779525138116407</v>
      </c>
      <c r="F19">
        <v>-0.95812878823492531</v>
      </c>
      <c r="G19">
        <v>-0.50147728704084238</v>
      </c>
      <c r="I19">
        <f t="shared" si="0"/>
        <v>0.10115574874249929</v>
      </c>
      <c r="J19">
        <f t="shared" si="1"/>
        <v>55.992371509053363</v>
      </c>
    </row>
    <row r="20" spans="4:10">
      <c r="D20">
        <f t="array" ref="D20:G20">rks(C$3,D19:G19)</f>
        <v>5.0999999999999988</v>
      </c>
      <c r="E20">
        <v>-0.11070108524603395</v>
      </c>
      <c r="F20">
        <v>-0.74264062692604393</v>
      </c>
      <c r="G20">
        <v>1.766625665451858</v>
      </c>
      <c r="I20">
        <f t="shared" si="0"/>
        <v>-0.28092241074170621</v>
      </c>
      <c r="J20">
        <f t="shared" si="1"/>
        <v>-60.593715199241281</v>
      </c>
    </row>
    <row r="21" spans="4:10">
      <c r="D21">
        <f t="array" ref="D21:G21">rks(C$3,D20:G20)</f>
        <v>5.3999999999999986</v>
      </c>
      <c r="E21">
        <v>-0.22881319428502639</v>
      </c>
      <c r="F21">
        <v>-0.11620072183615127</v>
      </c>
      <c r="G21">
        <v>2.2327227689726454</v>
      </c>
      <c r="I21">
        <f t="shared" si="0"/>
        <v>-0.37553885521112101</v>
      </c>
      <c r="J21">
        <f t="shared" si="1"/>
        <v>-39.070700378954967</v>
      </c>
    </row>
    <row r="22" spans="4:10">
      <c r="D22">
        <f t="array" ref="D22:G22">rks(C$3,D21:G21)</f>
        <v>5.6999999999999984</v>
      </c>
      <c r="E22">
        <v>-0.16560642566752795</v>
      </c>
      <c r="F22">
        <v>0.39881251388365513</v>
      </c>
      <c r="G22">
        <v>1.1330469235409784</v>
      </c>
      <c r="I22">
        <f t="shared" si="0"/>
        <v>-0.1937326546116197</v>
      </c>
      <c r="J22">
        <f t="shared" si="1"/>
        <v>-14.518063049555096</v>
      </c>
    </row>
    <row r="23" spans="4:10">
      <c r="D23">
        <f t="array" ref="D23:G23">rks(C$3,D22:G22)</f>
        <v>5.9999999999999982</v>
      </c>
      <c r="E23">
        <v>-1.5251451791730597E-2</v>
      </c>
      <c r="F23">
        <v>0.5061388287630777</v>
      </c>
      <c r="G23">
        <v>-0.36506289968956968</v>
      </c>
      <c r="I23">
        <f t="shared" si="0"/>
        <v>7.0902531992914214E-2</v>
      </c>
      <c r="J23">
        <f t="shared" si="1"/>
        <v>-121.51044731837612</v>
      </c>
    </row>
    <row r="24" spans="4:10">
      <c r="D24">
        <f t="array" ref="D24:G24">rks(C$3,D23:G23)</f>
        <v>6.299999999999998</v>
      </c>
      <c r="E24">
        <v>0.100278510384767</v>
      </c>
      <c r="F24">
        <v>0.25802406142152684</v>
      </c>
      <c r="G24">
        <v>-1.1856002824806215</v>
      </c>
      <c r="I24">
        <f t="shared" si="0"/>
        <v>0.21938988632708487</v>
      </c>
      <c r="J24">
        <f t="shared" si="1"/>
        <v>-54.292099757386545</v>
      </c>
    </row>
    <row r="25" spans="4:10">
      <c r="D25">
        <f t="array" ref="D25:G25">rks(C$3,D24:G24)</f>
        <v>6.5999999999999979</v>
      </c>
      <c r="E25">
        <v>0.11743925545922254</v>
      </c>
      <c r="F25">
        <v>-8.1509229706966113E-2</v>
      </c>
      <c r="G25">
        <v>-1.0048038832908424</v>
      </c>
      <c r="I25">
        <f t="shared" si="0"/>
        <v>0.18223211017188867</v>
      </c>
      <c r="J25">
        <f t="shared" si="1"/>
        <v>-35.555125082813831</v>
      </c>
    </row>
    <row r="26" spans="4:10">
      <c r="D26">
        <f t="array" ref="D26:G26">rks(C$3,D25:G25)</f>
        <v>6.8999999999999977</v>
      </c>
      <c r="E26">
        <v>5.4422466082021934E-2</v>
      </c>
      <c r="F26">
        <v>-0.26826257881564636</v>
      </c>
      <c r="G26">
        <v>-0.23514523244305652</v>
      </c>
      <c r="I26">
        <f t="shared" si="0"/>
        <v>3.2469319587615314E-2</v>
      </c>
      <c r="J26">
        <f t="shared" si="1"/>
        <v>67.611969616943085</v>
      </c>
    </row>
    <row r="27" spans="4:10">
      <c r="D27">
        <f t="array" ref="D27:G27">rks(C$3,D26:G26)</f>
        <v>7.1999999999999975</v>
      </c>
      <c r="E27">
        <v>-2.4708660831671073E-2</v>
      </c>
      <c r="F27">
        <v>-0.22812291278828392</v>
      </c>
      <c r="G27">
        <v>0.45667802548124137</v>
      </c>
      <c r="I27">
        <f t="shared" si="0"/>
        <v>-0.10025709439836267</v>
      </c>
      <c r="J27">
        <f t="shared" si="1"/>
        <v>-75.354700851898414</v>
      </c>
    </row>
    <row r="28" spans="4:10">
      <c r="D28">
        <f t="array" ref="D28:G28">rks(C$3,D27:G27)</f>
        <v>7.4999999999999973</v>
      </c>
      <c r="E28">
        <v>-6.4580756621842844E-2</v>
      </c>
      <c r="F28">
        <v>-5.4023619666479977E-2</v>
      </c>
      <c r="G28">
        <v>0.65139561841852633</v>
      </c>
      <c r="I28">
        <f t="shared" si="0"/>
        <v>-0.13133389883189275</v>
      </c>
      <c r="J28">
        <f t="shared" si="1"/>
        <v>-50.827046789720185</v>
      </c>
    </row>
    <row r="29" spans="4:10">
      <c r="D29">
        <f t="array" ref="D29:G29">rks(C$3,D28:G28)</f>
        <v>7.7999999999999972</v>
      </c>
      <c r="E29">
        <v>-5.1339271061581024E-2</v>
      </c>
      <c r="F29">
        <v>0.10300166959604615</v>
      </c>
      <c r="G29">
        <v>0.3718865877235783</v>
      </c>
      <c r="I29">
        <f t="shared" si="0"/>
        <v>-6.6261466307672698E-2</v>
      </c>
      <c r="J29">
        <f t="shared" si="1"/>
        <v>-22.52017058723581</v>
      </c>
    </row>
    <row r="30" spans="4:10">
      <c r="D30">
        <f t="array" ref="D30:G30">rks(C$3,D29:G29)</f>
        <v>8.0999999999999979</v>
      </c>
      <c r="E30">
        <v>-9.1976253510699379E-3</v>
      </c>
      <c r="F30">
        <v>0.14761419597081216</v>
      </c>
      <c r="G30">
        <v>-6.253616147341523E-2</v>
      </c>
      <c r="I30">
        <f t="shared" si="0"/>
        <v>2.6391508559300281E-2</v>
      </c>
      <c r="J30">
        <f t="shared" si="1"/>
        <v>-134.85069953619126</v>
      </c>
    </row>
    <row r="31" spans="4:10">
      <c r="D31">
        <f t="array" ref="D31:G31">rks(C$3,D30:G30)</f>
        <v>8.3999999999999986</v>
      </c>
      <c r="E31">
        <v>2.6330916940364359E-2</v>
      </c>
      <c r="F31">
        <v>8.4616756013942598E-2</v>
      </c>
      <c r="G31">
        <v>-0.3281777377123129</v>
      </c>
      <c r="I31">
        <f t="shared" si="0"/>
        <v>7.7327917247459299E-2</v>
      </c>
      <c r="J31">
        <f t="shared" si="1"/>
        <v>-65.949015727266996</v>
      </c>
    </row>
    <row r="32" spans="4:10">
      <c r="D32">
        <f t="array" ref="D32:G32">rks(C$3,D31:G31)</f>
        <v>8.6999999999999993</v>
      </c>
      <c r="E32">
        <v>3.4490299615117015E-2</v>
      </c>
      <c r="F32">
        <v>-1.3806761237648665E-2</v>
      </c>
      <c r="G32">
        <v>-0.30522851020218372</v>
      </c>
      <c r="I32">
        <f t="shared" si="0"/>
        <v>6.3193374533332597E-2</v>
      </c>
      <c r="J32">
        <f t="shared" si="1"/>
        <v>-45.421019418856289</v>
      </c>
    </row>
    <row r="33" spans="4:10">
      <c r="D33">
        <f t="array" ref="D33:G33">rks(C$3,D32:G32)</f>
        <v>9</v>
      </c>
      <c r="E33">
        <v>1.8177779701209609E-2</v>
      </c>
      <c r="F33">
        <v>-7.4222105250705606E-2</v>
      </c>
      <c r="G33">
        <v>-9.3922356985483277E-2</v>
      </c>
      <c r="I33">
        <f t="shared" si="0"/>
        <v>1.0334097120207653E-2</v>
      </c>
      <c r="J33">
        <f t="shared" si="1"/>
        <v>75.900995411240586</v>
      </c>
    </row>
    <row r="34" spans="4:10">
      <c r="D34">
        <f t="array" ref="D34:G34">rks(C$3,D33:G33)</f>
        <v>9.3000000000000007</v>
      </c>
      <c r="E34">
        <v>-4.9212021618165389E-3</v>
      </c>
      <c r="F34">
        <v>-6.9268676927136383E-2</v>
      </c>
      <c r="G34">
        <v>0.11478979692393937</v>
      </c>
      <c r="I34">
        <f t="shared" si="0"/>
        <v>-3.5756809727439526E-2</v>
      </c>
      <c r="J34">
        <f t="shared" si="1"/>
        <v>-86.237021145541277</v>
      </c>
    </row>
    <row r="35" spans="4:10">
      <c r="D35">
        <f t="array" ref="D35:G35">rks(C$3,D34:G34)</f>
        <v>9.6000000000000014</v>
      </c>
      <c r="E35">
        <v>-1.802530510506016E-2</v>
      </c>
      <c r="F35">
        <v>-2.1493948495798207E-2</v>
      </c>
      <c r="G35">
        <v>0.18822802071760469</v>
      </c>
      <c r="I35">
        <f t="shared" si="0"/>
        <v>-4.5917237226117825E-2</v>
      </c>
      <c r="J35">
        <f t="shared" si="1"/>
        <v>-60.743924952855558</v>
      </c>
    </row>
    <row r="36" spans="4:10">
      <c r="D36">
        <f t="array" ref="D36:G36">rks(C$3,D35:G35)</f>
        <v>9.9000000000000021</v>
      </c>
      <c r="E36">
        <v>-1.5719107757572542E-2</v>
      </c>
      <c r="F36">
        <v>2.5859778421951946E-2</v>
      </c>
      <c r="G36">
        <v>0.11954196833559408</v>
      </c>
      <c r="I36">
        <f t="shared" si="0"/>
        <v>-2.2644412119156118E-2</v>
      </c>
      <c r="J36">
        <f t="shared" si="1"/>
        <v>-30.582840151213688</v>
      </c>
    </row>
    <row r="37" spans="4:10">
      <c r="D37">
        <f t="array" ref="D37:G37">rks(C$3,D36:G36)</f>
        <v>10.200000000000003</v>
      </c>
      <c r="E37">
        <v>-4.0459631924875585E-3</v>
      </c>
      <c r="F37">
        <v>4.2639702004749244E-2</v>
      </c>
      <c r="G37">
        <v>-5.2145424742393275E-3</v>
      </c>
      <c r="I37">
        <f t="shared" si="0"/>
        <v>9.7856882849572165E-3</v>
      </c>
      <c r="J37">
        <f t="shared" si="1"/>
        <v>-141.34571912235447</v>
      </c>
    </row>
    <row r="38" spans="4:10">
      <c r="D38">
        <f t="array" ref="D38:G38">rks(C$3,D37:G37)</f>
        <v>10.500000000000004</v>
      </c>
      <c r="E38">
        <v>6.7533300737995707E-3</v>
      </c>
      <c r="F38">
        <v>2.7181270599286812E-2</v>
      </c>
      <c r="G38">
        <v>-8.9649573781932834E-2</v>
      </c>
      <c r="I38">
        <f t="shared" si="0"/>
        <v>2.7246562148758213E-2</v>
      </c>
      <c r="J38">
        <f t="shared" si="1"/>
        <v>-75.214010351366994</v>
      </c>
    </row>
    <row r="39" spans="4:10">
      <c r="D39">
        <f t="array" ref="D39:G39">rks(C$3,D38:G38)</f>
        <v>10.800000000000004</v>
      </c>
      <c r="E39">
        <v>1.0032860849658468E-2</v>
      </c>
      <c r="F39">
        <v>-1.0736044266630614E-3</v>
      </c>
      <c r="G39">
        <v>-9.1730358432677767E-2</v>
      </c>
      <c r="I39">
        <f t="shared" ref="I39:I42" si="2">EXP(-D39/2)*(5*COS(3*D39)+5/2*SIN(3*D39))</f>
        <v>2.1905749002638673E-2</v>
      </c>
      <c r="J39">
        <f t="shared" ref="J39:J42" si="3">(E39/I39-1)*100</f>
        <v>-54.199873063231237</v>
      </c>
    </row>
    <row r="40" spans="4:10">
      <c r="D40">
        <f t="array" ref="D40:G40">rks(C$3,D39:G39)</f>
        <v>11.100000000000005</v>
      </c>
      <c r="E40">
        <v>5.9251525266148988E-3</v>
      </c>
      <c r="F40">
        <v>-2.0265125973209692E-2</v>
      </c>
      <c r="G40">
        <v>-3.4542534897978122E-2</v>
      </c>
      <c r="I40">
        <f t="shared" si="2"/>
        <v>3.2554820423192359E-3</v>
      </c>
      <c r="J40">
        <f t="shared" si="3"/>
        <v>82.005381986188581</v>
      </c>
    </row>
    <row r="41" spans="4:10">
      <c r="D41">
        <f t="array" ref="D41:G41">rks(C$3,D40:G40)</f>
        <v>11.400000000000006</v>
      </c>
      <c r="E41">
        <v>-7.5321611954685432E-4</v>
      </c>
      <c r="F41">
        <v>-2.0809447600047666E-2</v>
      </c>
      <c r="G41">
        <v>2.7776696705856068E-2</v>
      </c>
      <c r="I41">
        <f t="shared" si="2"/>
        <v>-1.2744651666748848E-2</v>
      </c>
      <c r="J41">
        <f t="shared" si="3"/>
        <v>-94.089943458305598</v>
      </c>
    </row>
    <row r="42" spans="4:10">
      <c r="D42">
        <f t="array" ref="D42:G42">rks(C$3,D41:G41)</f>
        <v>11.700000000000006</v>
      </c>
      <c r="E42">
        <v>-4.9700064513852676E-3</v>
      </c>
      <c r="F42">
        <v>-7.8869856717500991E-3</v>
      </c>
      <c r="G42">
        <v>5.3859545347063824E-2</v>
      </c>
      <c r="I42">
        <f t="shared" si="2"/>
        <v>-1.6049126210571023E-2</v>
      </c>
      <c r="J42">
        <f t="shared" si="3"/>
        <v>-69.032541795878629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4.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4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Ramsayer</dc:creator>
  <cp:lastModifiedBy>Robert Ramsayer</cp:lastModifiedBy>
  <dcterms:created xsi:type="dcterms:W3CDTF">2020-12-21T11:35:38Z</dcterms:created>
  <dcterms:modified xsi:type="dcterms:W3CDTF">2020-12-22T10:57:43Z</dcterms:modified>
</cp:coreProperties>
</file>